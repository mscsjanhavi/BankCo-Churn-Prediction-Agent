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_Master" sheetId="2" state="visible" r:id="rId4"/>
    <sheet name="Transaction_Behavior" sheetId="3" state="visible" r:id="rId5"/>
    <sheet name="Engagement_Signals" sheetId="4" state="visible" r:id="rId6"/>
    <sheet name="NPS_Survey" sheetId="5" state="visible" r:id="rId7"/>
    <sheet name="Offer_Policy" sheetId="6" state="visible" r:id="rId8"/>
    <sheet name="RM_Directory" sheetId="7" state="visible" r:id="rId9"/>
    <sheet name="Agent_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<sst xmlns="http://schemas.openxmlformats.org/spreadsheetml/2006/main" count="176" uniqueCount="105">
  <si>
    <t xml:space="preserve">BankCo Churn-Prediction Agent — Source of Truth Workbook</t>
  </si>
  <si>
    <t xml:space="preserve">How to use this workbook:</t>
  </si>
  <si>
    <t xml:space="preserve">1. Yellow-filled cells are the ones you edit or feed with real data (customer records, transactions, engagement, NPS, offer policy, RM contacts).</t>
  </si>
  <si>
    <t xml:space="preserve">2. Customer_Master automatically pulls data from the other tabs and calculates a Risk_Score and At_Risk_Flag — do not type into columns H through O, they are formulas.</t>
  </si>
  <si>
    <t xml:space="preserve">3. Offer_Policy is the strict rulebook — this is what the AI step in Zapier should read from, never invent offers outside this tab.</t>
  </si>
  <si>
    <t xml:space="preserve">4. Agent_Log is written to BY ZAPIER, not by you — it stays empty except for the italic example row until the Zap runs.</t>
  </si>
  <si>
    <t xml:space="preserve">5. Upload this file to Google Sheets (File &gt; Import in Sheets, or drag into Google Drive) before connecting it to Zapier.</t>
  </si>
  <si>
    <t xml:space="preserve">Tabs:</t>
  </si>
  <si>
    <t xml:space="preserve"> - Customer_Master: customer profile + live Risk_Score</t>
  </si>
  <si>
    <t xml:space="preserve"> - Transaction_Behavior: spend data</t>
  </si>
  <si>
    <t xml:space="preserve"> - Engagement_Signals: lounge + app usage</t>
  </si>
  <si>
    <t xml:space="preserve"> - NPS_Survey: satisfaction scores</t>
  </si>
  <si>
    <t xml:space="preserve"> - Offer_Policy: approved retention offers per tier (guardrail)</t>
  </si>
  <si>
    <t xml:space="preserve"> - RM_Directory: RM contact info</t>
  </si>
  <si>
    <t xml:space="preserve"> - Agent_Log: write-back log from the Zapier agent</t>
  </si>
  <si>
    <t xml:space="preserve">Customer_ID</t>
  </si>
  <si>
    <t xml:space="preserve">Customer_Name</t>
  </si>
  <si>
    <t xml:space="preserve">Tier</t>
  </si>
  <si>
    <t xml:space="preserve">RM_Name</t>
  </si>
  <si>
    <t xml:space="preserve">Renewal_Date</t>
  </si>
  <si>
    <t xml:space="preserve">Tenure_Years</t>
  </si>
  <si>
    <t xml:space="preserve">Account_Value_INR</t>
  </si>
  <si>
    <t xml:space="preserve">Spend_Delta_%</t>
  </si>
  <si>
    <t xml:space="preserve">Lounge_Last6mo</t>
  </si>
  <si>
    <t xml:space="preserve">Lounge_Prior6mo</t>
  </si>
  <si>
    <t xml:space="preserve">App_Logins_Last30d</t>
  </si>
  <si>
    <t xml:space="preserve">NPS_Score</t>
  </si>
  <si>
    <t xml:space="preserve">Days_To_Renewal</t>
  </si>
  <si>
    <t xml:space="preserve">Risk_Score</t>
  </si>
  <si>
    <t xml:space="preserve">At_Risk_Flag</t>
  </si>
  <si>
    <t xml:space="preserve">BC-10245</t>
  </si>
  <si>
    <t xml:space="preserve">Anjali Mehta</t>
  </si>
  <si>
    <t xml:space="preserve">Platinum</t>
  </si>
  <si>
    <t xml:space="preserve">Rohan Kapoor</t>
  </si>
  <si>
    <t xml:space="preserve">BC-10246</t>
  </si>
  <si>
    <t xml:space="preserve">Vikram Shah</t>
  </si>
  <si>
    <t xml:space="preserve">Gold</t>
  </si>
  <si>
    <t xml:space="preserve">BC-10247</t>
  </si>
  <si>
    <t xml:space="preserve">Priya Nair</t>
  </si>
  <si>
    <t xml:space="preserve">Sneha Rao</t>
  </si>
  <si>
    <t xml:space="preserve">BC-10248</t>
  </si>
  <si>
    <t xml:space="preserve">Karan Malhotra</t>
  </si>
  <si>
    <t xml:space="preserve">Silver</t>
  </si>
  <si>
    <t xml:space="preserve">BC-10249</t>
  </si>
  <si>
    <t xml:space="preserve">Ritu Desai</t>
  </si>
  <si>
    <t xml:space="preserve">BC-10250</t>
  </si>
  <si>
    <t xml:space="preserve">Arjun Verma</t>
  </si>
  <si>
    <t xml:space="preserve">BC-10251</t>
  </si>
  <si>
    <t xml:space="preserve">Neha Kulkarni</t>
  </si>
  <si>
    <t xml:space="preserve">BC-10252</t>
  </si>
  <si>
    <t xml:space="preserve">Sanjay Iyer</t>
  </si>
  <si>
    <t xml:space="preserve">BC-10253</t>
  </si>
  <si>
    <t xml:space="preserve">Meera Pillai</t>
  </si>
  <si>
    <t xml:space="preserve">BC-10254</t>
  </si>
  <si>
    <t xml:space="preserve">Aditya Rao</t>
  </si>
  <si>
    <t xml:space="preserve">BC-10255</t>
  </si>
  <si>
    <t xml:space="preserve">Fatima Sheikh</t>
  </si>
  <si>
    <t xml:space="preserve">BC-10256</t>
  </si>
  <si>
    <t xml:space="preserve">Rahul Bhatia</t>
  </si>
  <si>
    <t xml:space="preserve">Avg_Monthly_Spend_Last90d</t>
  </si>
  <si>
    <t xml:space="preserve">Avg_Monthly_Spend_Prior90d</t>
  </si>
  <si>
    <t xml:space="preserve">Card_Usage_Freq_Last30d</t>
  </si>
  <si>
    <t xml:space="preserve">Lounge_Visits_Last6mo</t>
  </si>
  <si>
    <t xml:space="preserve">Lounge_Visits_Prior6mo</t>
  </si>
  <si>
    <t xml:space="preserve">Support_Tickets_Last90d</t>
  </si>
  <si>
    <t xml:space="preserve">Latest_NPS_Score</t>
  </si>
  <si>
    <t xml:space="preserve">Survey_Date</t>
  </si>
  <si>
    <t xml:space="preserve">Comment</t>
  </si>
  <si>
    <t xml:space="preserve">Fees feel high for what I use</t>
  </si>
  <si>
    <t xml:space="preserve">Happy with service</t>
  </si>
  <si>
    <t xml:space="preserve">Not visiting lounges anymore, considering other banks</t>
  </si>
  <si>
    <t xml:space="preserve">All good</t>
  </si>
  <si>
    <t xml:space="preserve">Great app experience</t>
  </si>
  <si>
    <t xml:space="preserve">Service is fine, could be more personal</t>
  </si>
  <si>
    <t xml:space="preserve">Very satisfied</t>
  </si>
  <si>
    <t xml:space="preserve">Considering a switch, too many charges</t>
  </si>
  <si>
    <t xml:space="preserve">Disappointed with recent support experience</t>
  </si>
  <si>
    <t xml:space="preserve">Good overall</t>
  </si>
  <si>
    <t xml:space="preserve">Barely using the card lately</t>
  </si>
  <si>
    <t xml:space="preserve">No complaints</t>
  </si>
  <si>
    <t xml:space="preserve">Max_Fee_Waiver_%</t>
  </si>
  <si>
    <t xml:space="preserve">Eligible_Offers</t>
  </si>
  <si>
    <t xml:space="preserve">Requires_RM_Approval</t>
  </si>
  <si>
    <t xml:space="preserve">Requires_Credit_Team_Approval_Above_INR</t>
  </si>
  <si>
    <t xml:space="preserve">Annual fee waiver; bonus lounge passes (4); dedicated concierge call</t>
  </si>
  <si>
    <t xml:space="preserve">TRUE</t>
  </si>
  <si>
    <t xml:space="preserve">Annual fee waiver up to 25%; 2 bonus lounge passes</t>
  </si>
  <si>
    <t xml:space="preserve">No fee waiver eligible; complimentary relationship review call only</t>
  </si>
  <si>
    <t xml:space="preserve">RM_Email</t>
  </si>
  <si>
    <t xml:space="preserve">Slack_ID</t>
  </si>
  <si>
    <t xml:space="preserve">rohan.kapoor@bankco.com</t>
  </si>
  <si>
    <t xml:space="preserve">U02ROHANK</t>
  </si>
  <si>
    <t xml:space="preserve">sneha.rao@bankco.com</t>
  </si>
  <si>
    <t xml:space="preserve">U02SNEHAR</t>
  </si>
  <si>
    <t xml:space="preserve">Timestamp</t>
  </si>
  <si>
    <t xml:space="preserve">Risk_Reasons</t>
  </si>
  <si>
    <t xml:space="preserve">Draft_Status</t>
  </si>
  <si>
    <t xml:space="preserve">Draft_Link</t>
  </si>
  <si>
    <t xml:space="preserve">RM_Decision</t>
  </si>
  <si>
    <t xml:space="preserve">EXAMPLE-0000</t>
  </si>
  <si>
    <t xml:space="preserve">2026-08-01 08:00</t>
  </si>
  <si>
    <t xml:space="preserve">Spend down 42%; lounge visits down 80%; NPS 4</t>
  </si>
  <si>
    <t xml:space="preserve">Draft Created</t>
  </si>
  <si>
    <t xml:space="preserve">https://mail.google.com/draft/xyz</t>
  </si>
  <si>
    <t xml:space="preserve">Pending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</si>
</sst>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%"/>
    <numFmt numFmtId="168" formatCode="General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23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6" t="n">
        <v>46288</v>
      </c>
      <c r="F2" s="5" t="n">
        <v>6</v>
      </c>
      <c r="G2" s="7" t="n">
        <v>2400000</v>
      </c>
      <c r="H2" s="8" t="n">
        <f aca="false">IFERROR(INDEX(Transaction_Behavior!$D:$D,MATCH(A2,Transaction_Behavior!$A:$A,0)),"")</f>
        <v>-0.423076923076923</v>
      </c>
      <c r="I2" s="9" t="n">
        <f aca="false">IFERROR(INDEX(Engagement_Signals!$B:$B,MATCH(A2,Engagement_Signals!$A:$A,0)),0)</f>
        <v>0</v>
      </c>
      <c r="J2" s="9" t="n">
        <f aca="false">IFERROR(INDEX(Engagement_Signals!$C:$C,MATCH(A2,Engagement_Signals!$A:$A,0)),0)</f>
        <v>5</v>
      </c>
      <c r="K2" s="9" t="n">
        <f aca="false">IFERROR(INDEX(Engagement_Signals!$D:$D,MATCH(A2,Engagement_Signals!$A:$A,0)),0)</f>
        <v>1</v>
      </c>
      <c r="L2" s="9" t="n">
        <f aca="false">IFERROR(INDEX(NPS_Survey!$B:$B,MATCH(A2,NPS_Survey!$A:$A,0)),"")</f>
        <v>4</v>
      </c>
      <c r="M2" s="9" t="n">
        <f aca="false">E2-DATE(2026,8,29)</f>
        <v>25</v>
      </c>
      <c r="N2" s="9" t="n">
        <f aca="false">IF(H2&lt;=-0.3,2,0)+IF(J2&gt;0,IF(I2&lt;=J2*0.5,2,0),0)+IF(L2&lt;&gt;"",IF(L2&lt;=6,2,0),0)+IF(K2&lt;=2,1,0)+IF(AND(M2&gt;=0,M2&lt;=60),1,0)</f>
        <v>8</v>
      </c>
      <c r="O2" s="9" t="str">
        <f aca="false">IF(AND(N2&gt;=4,M2&lt;=60,M2&gt;=0),"AT RISK","")</f>
        <v>AT RISK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5" t="s">
        <v>33</v>
      </c>
      <c r="E3" s="6" t="n">
        <v>46303</v>
      </c>
      <c r="F3" s="5" t="n">
        <v>3</v>
      </c>
      <c r="G3" s="7" t="n">
        <v>850000</v>
      </c>
      <c r="H3" s="8" t="n">
        <f aca="false">IFERROR(INDEX(Transaction_Behavior!$D:$D,MATCH(A3,Transaction_Behavior!$A:$A,0)),"")</f>
        <v>-0.0833333333333333</v>
      </c>
      <c r="I3" s="9" t="n">
        <f aca="false">IFERROR(INDEX(Engagement_Signals!$B:$B,MATCH(A3,Engagement_Signals!$A:$A,0)),0)</f>
        <v>3</v>
      </c>
      <c r="J3" s="9" t="n">
        <f aca="false">IFERROR(INDEX(Engagement_Signals!$C:$C,MATCH(A3,Engagement_Signals!$A:$A,0)),0)</f>
        <v>4</v>
      </c>
      <c r="K3" s="9" t="n">
        <f aca="false">IFERROR(INDEX(Engagement_Signals!$D:$D,MATCH(A3,Engagement_Signals!$A:$A,0)),0)</f>
        <v>8</v>
      </c>
      <c r="L3" s="9" t="n">
        <f aca="false">IFERROR(INDEX(NPS_Survey!$B:$B,MATCH(A3,NPS_Survey!$A:$A,0)),"")</f>
        <v>8</v>
      </c>
      <c r="M3" s="9" t="n">
        <f aca="false">E3-DATE(2026,8,29)</f>
        <v>40</v>
      </c>
      <c r="N3" s="9" t="n">
        <f aca="false">IF(H3&lt;=-0.3,2,0)+IF(J3&gt;0,IF(I3&lt;=J3*0.5,2,0),0)+IF(L3&lt;&gt;"",IF(L3&lt;=6,2,0),0)+IF(K3&lt;=2,1,0)+IF(AND(M3&gt;=0,M3&lt;=60),1,0)</f>
        <v>1</v>
      </c>
      <c r="O3" s="9" t="str">
        <f aca="false">IF(AND(N3&gt;=4,M3&lt;=60,M3&gt;=0),"AT RISK","")</f>
        <v/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32</v>
      </c>
      <c r="D4" s="5" t="s">
        <v>39</v>
      </c>
      <c r="E4" s="6" t="n">
        <v>46278</v>
      </c>
      <c r="F4" s="5" t="n">
        <v>9</v>
      </c>
      <c r="G4" s="7" t="n">
        <v>3100000</v>
      </c>
      <c r="H4" s="8" t="n">
        <f aca="false">IFERROR(INDEX(Transaction_Behavior!$D:$D,MATCH(A4,Transaction_Behavior!$A:$A,0)),"")</f>
        <v>-0.68421052631579</v>
      </c>
      <c r="I4" s="9" t="n">
        <f aca="false">IFERROR(INDEX(Engagement_Signals!$B:$B,MATCH(A4,Engagement_Signals!$A:$A,0)),0)</f>
        <v>1</v>
      </c>
      <c r="J4" s="9" t="n">
        <f aca="false">IFERROR(INDEX(Engagement_Signals!$C:$C,MATCH(A4,Engagement_Signals!$A:$A,0)),0)</f>
        <v>6</v>
      </c>
      <c r="K4" s="9" t="n">
        <f aca="false">IFERROR(INDEX(Engagement_Signals!$D:$D,MATCH(A4,Engagement_Signals!$A:$A,0)),0)</f>
        <v>2</v>
      </c>
      <c r="L4" s="9" t="n">
        <f aca="false">IFERROR(INDEX(NPS_Survey!$B:$B,MATCH(A4,NPS_Survey!$A:$A,0)),"")</f>
        <v>5</v>
      </c>
      <c r="M4" s="9" t="n">
        <f aca="false">E4-DATE(2026,8,29)</f>
        <v>15</v>
      </c>
      <c r="N4" s="9" t="n">
        <f aca="false">IF(H4&lt;=-0.3,2,0)+IF(J4&gt;0,IF(I4&lt;=J4*0.5,2,0),0)+IF(L4&lt;&gt;"",IF(L4&lt;=6,2,0),0)+IF(K4&lt;=2,1,0)+IF(AND(M4&gt;=0,M4&lt;=60),1,0)</f>
        <v>8</v>
      </c>
      <c r="O4" s="9" t="str">
        <f aca="false">IF(AND(N4&gt;=4,M4&lt;=60,M4&gt;=0),"AT RISK","")</f>
        <v>AT RISK</v>
      </c>
    </row>
    <row r="5" customFormat="false" ht="15" hidden="false" customHeight="false" outlineLevel="0" collapsed="false">
      <c r="A5" s="5" t="s">
        <v>40</v>
      </c>
      <c r="B5" s="5" t="s">
        <v>41</v>
      </c>
      <c r="C5" s="5" t="s">
        <v>42</v>
      </c>
      <c r="D5" s="5" t="s">
        <v>39</v>
      </c>
      <c r="E5" s="6" t="n">
        <v>46443</v>
      </c>
      <c r="F5" s="5" t="n">
        <v>2</v>
      </c>
      <c r="G5" s="7" t="n">
        <v>320000</v>
      </c>
      <c r="H5" s="8" t="n">
        <f aca="false">IFERROR(INDEX(Transaction_Behavior!$D:$D,MATCH(A5,Transaction_Behavior!$A:$A,0)),"")</f>
        <v>-0.0588235294117647</v>
      </c>
      <c r="I5" s="9" t="n">
        <f aca="false">IFERROR(INDEX(Engagement_Signals!$B:$B,MATCH(A5,Engagement_Signals!$A:$A,0)),0)</f>
        <v>0</v>
      </c>
      <c r="J5" s="9" t="n">
        <f aca="false">IFERROR(INDEX(Engagement_Signals!$C:$C,MATCH(A5,Engagement_Signals!$A:$A,0)),0)</f>
        <v>0</v>
      </c>
      <c r="K5" s="9" t="n">
        <f aca="false">IFERROR(INDEX(Engagement_Signals!$D:$D,MATCH(A5,Engagement_Signals!$A:$A,0)),0)</f>
        <v>4</v>
      </c>
      <c r="L5" s="9" t="n">
        <f aca="false">IFERROR(INDEX(NPS_Survey!$B:$B,MATCH(A5,NPS_Survey!$A:$A,0)),"")</f>
        <v>9</v>
      </c>
      <c r="M5" s="9" t="n">
        <f aca="false">E5-DATE(2026,8,29)</f>
        <v>180</v>
      </c>
      <c r="N5" s="9" t="n">
        <f aca="false">IF(H5&lt;=-0.3,2,0)+IF(J5&gt;0,IF(I5&lt;=J5*0.5,2,0),0)+IF(L5&lt;&gt;"",IF(L5&lt;=6,2,0),0)+IF(K5&lt;=2,1,0)+IF(AND(M5&gt;=0,M5&lt;=60),1,0)</f>
        <v>0</v>
      </c>
      <c r="O5" s="9" t="str">
        <f aca="false">IF(AND(N5&gt;=4,M5&lt;=60,M5&gt;=0),"AT RISK","")</f>
        <v/>
      </c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36</v>
      </c>
      <c r="D6" s="5" t="s">
        <v>33</v>
      </c>
      <c r="E6" s="6" t="n">
        <v>46318</v>
      </c>
      <c r="F6" s="5" t="n">
        <v>5</v>
      </c>
      <c r="G6" s="7" t="n">
        <v>900000</v>
      </c>
      <c r="H6" s="8" t="n">
        <f aca="false">IFERROR(INDEX(Transaction_Behavior!$D:$D,MATCH(A6,Transaction_Behavior!$A:$A,0)),"")</f>
        <v>-0.024390243902439</v>
      </c>
      <c r="I6" s="9" t="n">
        <f aca="false">IFERROR(INDEX(Engagement_Signals!$B:$B,MATCH(A6,Engagement_Signals!$A:$A,0)),0)</f>
        <v>4</v>
      </c>
      <c r="J6" s="9" t="n">
        <f aca="false">IFERROR(INDEX(Engagement_Signals!$C:$C,MATCH(A6,Engagement_Signals!$A:$A,0)),0)</f>
        <v>5</v>
      </c>
      <c r="K6" s="9" t="n">
        <f aca="false">IFERROR(INDEX(Engagement_Signals!$D:$D,MATCH(A6,Engagement_Signals!$A:$A,0)),0)</f>
        <v>10</v>
      </c>
      <c r="L6" s="9" t="n">
        <f aca="false">IFERROR(INDEX(NPS_Survey!$B:$B,MATCH(A6,NPS_Survey!$A:$A,0)),"")</f>
        <v>8</v>
      </c>
      <c r="M6" s="9" t="n">
        <f aca="false">E6-DATE(2026,8,29)</f>
        <v>55</v>
      </c>
      <c r="N6" s="9" t="n">
        <f aca="false">IF(H6&lt;=-0.3,2,0)+IF(J6&gt;0,IF(I6&lt;=J6*0.5,2,0),0)+IF(L6&lt;&gt;"",IF(L6&lt;=6,2,0),0)+IF(K6&lt;=2,1,0)+IF(AND(M6&gt;=0,M6&lt;=60),1,0)</f>
        <v>1</v>
      </c>
      <c r="O6" s="9" t="str">
        <f aca="false">IF(AND(N6&gt;=4,M6&lt;=60,M6&gt;=0),"AT RISK","")</f>
        <v/>
      </c>
    </row>
    <row r="7" customFormat="false" ht="15" hidden="false" customHeight="false" outlineLevel="0" collapsed="false">
      <c r="A7" s="5" t="s">
        <v>45</v>
      </c>
      <c r="B7" s="5" t="s">
        <v>46</v>
      </c>
      <c r="C7" s="5" t="s">
        <v>32</v>
      </c>
      <c r="D7" s="5" t="s">
        <v>39</v>
      </c>
      <c r="E7" s="6" t="n">
        <v>46311</v>
      </c>
      <c r="F7" s="5" t="n">
        <v>7</v>
      </c>
      <c r="G7" s="7" t="n">
        <v>2750000</v>
      </c>
      <c r="H7" s="8" t="n">
        <f aca="false">IFERROR(INDEX(Transaction_Behavior!$D:$D,MATCH(A7,Transaction_Behavior!$A:$A,0)),"")</f>
        <v>-0.0163934426229508</v>
      </c>
      <c r="I7" s="9" t="n">
        <f aca="false">IFERROR(INDEX(Engagement_Signals!$B:$B,MATCH(A7,Engagement_Signals!$A:$A,0)),0)</f>
        <v>2</v>
      </c>
      <c r="J7" s="9" t="n">
        <f aca="false">IFERROR(INDEX(Engagement_Signals!$C:$C,MATCH(A7,Engagement_Signals!$A:$A,0)),0)</f>
        <v>5</v>
      </c>
      <c r="K7" s="9" t="n">
        <f aca="false">IFERROR(INDEX(Engagement_Signals!$D:$D,MATCH(A7,Engagement_Signals!$A:$A,0)),0)</f>
        <v>3</v>
      </c>
      <c r="L7" s="9" t="n">
        <f aca="false">IFERROR(INDEX(NPS_Survey!$B:$B,MATCH(A7,NPS_Survey!$A:$A,0)),"")</f>
        <v>6</v>
      </c>
      <c r="M7" s="9" t="n">
        <f aca="false">E7-DATE(2026,8,29)</f>
        <v>48</v>
      </c>
      <c r="N7" s="9" t="n">
        <f aca="false">IF(H7&lt;=-0.3,2,0)+IF(J7&gt;0,IF(I7&lt;=J7*0.5,2,0),0)+IF(L7&lt;&gt;"",IF(L7&lt;=6,2,0),0)+IF(K7&lt;=2,1,0)+IF(AND(M7&gt;=0,M7&lt;=60),1,0)</f>
        <v>5</v>
      </c>
      <c r="O7" s="9" t="str">
        <f aca="false">IF(AND(N7&gt;=4,M7&lt;=60,M7&gt;=0),"AT RISK","")</f>
        <v>AT RISK</v>
      </c>
    </row>
    <row r="8" customFormat="false" ht="15" hidden="false" customHeight="false" outlineLevel="0" collapsed="false">
      <c r="A8" s="5" t="s">
        <v>47</v>
      </c>
      <c r="B8" s="5" t="s">
        <v>48</v>
      </c>
      <c r="C8" s="5" t="s">
        <v>42</v>
      </c>
      <c r="D8" s="5" t="s">
        <v>33</v>
      </c>
      <c r="E8" s="6" t="n">
        <v>46353</v>
      </c>
      <c r="F8" s="5" t="n">
        <v>1</v>
      </c>
      <c r="G8" s="7" t="n">
        <v>280000</v>
      </c>
      <c r="H8" s="8" t="n">
        <f aca="false">IFERROR(INDEX(Transaction_Behavior!$D:$D,MATCH(A8,Transaction_Behavior!$A:$A,0)),"")</f>
        <v>-0.0217391304347826</v>
      </c>
      <c r="I8" s="9" t="n">
        <f aca="false">IFERROR(INDEX(Engagement_Signals!$B:$B,MATCH(A8,Engagement_Signals!$A:$A,0)),0)</f>
        <v>0</v>
      </c>
      <c r="J8" s="9" t="n">
        <f aca="false">IFERROR(INDEX(Engagement_Signals!$C:$C,MATCH(A8,Engagement_Signals!$A:$A,0)),0)</f>
        <v>1</v>
      </c>
      <c r="K8" s="9" t="n">
        <f aca="false">IFERROR(INDEX(Engagement_Signals!$D:$D,MATCH(A8,Engagement_Signals!$A:$A,0)),0)</f>
        <v>6</v>
      </c>
      <c r="L8" s="9" t="n">
        <f aca="false">IFERROR(INDEX(NPS_Survey!$B:$B,MATCH(A8,NPS_Survey!$A:$A,0)),"")</f>
        <v>9</v>
      </c>
      <c r="M8" s="9" t="n">
        <f aca="false">E8-DATE(2026,8,29)</f>
        <v>90</v>
      </c>
      <c r="N8" s="9" t="n">
        <f aca="false">IF(H8&lt;=-0.3,2,0)+IF(J8&gt;0,IF(I8&lt;=J8*0.5,2,0),0)+IF(L8&lt;&gt;"",IF(L8&lt;=6,2,0),0)+IF(K8&lt;=2,1,0)+IF(AND(M8&gt;=0,M8&lt;=60),1,0)</f>
        <v>2</v>
      </c>
      <c r="O8" s="9" t="str">
        <f aca="false">IF(AND(N8&gt;=4,M8&lt;=60,M8&gt;=0),"AT RISK","")</f>
        <v/>
      </c>
    </row>
    <row r="9" customFormat="false" ht="15" hidden="false" customHeight="false" outlineLevel="0" collapsed="false">
      <c r="A9" s="5" t="s">
        <v>49</v>
      </c>
      <c r="B9" s="5" t="s">
        <v>50</v>
      </c>
      <c r="C9" s="5" t="s">
        <v>36</v>
      </c>
      <c r="D9" s="5" t="s">
        <v>39</v>
      </c>
      <c r="E9" s="6" t="n">
        <v>46283</v>
      </c>
      <c r="F9" s="5" t="n">
        <v>4</v>
      </c>
      <c r="G9" s="7" t="n">
        <v>780000</v>
      </c>
      <c r="H9" s="8" t="n">
        <f aca="false">IFERROR(INDEX(Transaction_Behavior!$D:$D,MATCH(A9,Transaction_Behavior!$A:$A,0)),"")</f>
        <v>-0.605263157894737</v>
      </c>
      <c r="I9" s="9" t="n">
        <f aca="false">IFERROR(INDEX(Engagement_Signals!$B:$B,MATCH(A9,Engagement_Signals!$A:$A,0)),0)</f>
        <v>0</v>
      </c>
      <c r="J9" s="9" t="n">
        <f aca="false">IFERROR(INDEX(Engagement_Signals!$C:$C,MATCH(A9,Engagement_Signals!$A:$A,0)),0)</f>
        <v>4</v>
      </c>
      <c r="K9" s="9" t="n">
        <f aca="false">IFERROR(INDEX(Engagement_Signals!$D:$D,MATCH(A9,Engagement_Signals!$A:$A,0)),0)</f>
        <v>1</v>
      </c>
      <c r="L9" s="9" t="n">
        <f aca="false">IFERROR(INDEX(NPS_Survey!$B:$B,MATCH(A9,NPS_Survey!$A:$A,0)),"")</f>
        <v>5</v>
      </c>
      <c r="M9" s="9" t="n">
        <f aca="false">E9-DATE(2026,8,29)</f>
        <v>20</v>
      </c>
      <c r="N9" s="9" t="n">
        <f aca="false">IF(H9&lt;=-0.3,2,0)+IF(J9&gt;0,IF(I9&lt;=J9*0.5,2,0),0)+IF(L9&lt;&gt;"",IF(L9&lt;=6,2,0),0)+IF(K9&lt;=2,1,0)+IF(AND(M9&gt;=0,M9&lt;=60),1,0)</f>
        <v>8</v>
      </c>
      <c r="O9" s="9" t="str">
        <f aca="false">IF(AND(N9&gt;=4,M9&lt;=60,M9&gt;=0),"AT RISK","")</f>
        <v>AT RISK</v>
      </c>
    </row>
    <row r="10" customFormat="false" ht="15" hidden="false" customHeight="false" outlineLevel="0" collapsed="false">
      <c r="A10" s="5" t="s">
        <v>51</v>
      </c>
      <c r="B10" s="5" t="s">
        <v>52</v>
      </c>
      <c r="C10" s="5" t="s">
        <v>32</v>
      </c>
      <c r="D10" s="5" t="s">
        <v>33</v>
      </c>
      <c r="E10" s="6" t="n">
        <v>46321</v>
      </c>
      <c r="F10" s="5" t="n">
        <v>8</v>
      </c>
      <c r="G10" s="7" t="n">
        <v>3400000</v>
      </c>
      <c r="H10" s="8" t="n">
        <f aca="false">IFERROR(INDEX(Transaction_Behavior!$D:$D,MATCH(A10,Transaction_Behavior!$A:$A,0)),"")</f>
        <v>-0.6</v>
      </c>
      <c r="I10" s="9" t="n">
        <f aca="false">IFERROR(INDEX(Engagement_Signals!$B:$B,MATCH(A10,Engagement_Signals!$A:$A,0)),0)</f>
        <v>1</v>
      </c>
      <c r="J10" s="9" t="n">
        <f aca="false">IFERROR(INDEX(Engagement_Signals!$C:$C,MATCH(A10,Engagement_Signals!$A:$A,0)),0)</f>
        <v>8</v>
      </c>
      <c r="K10" s="9" t="n">
        <f aca="false">IFERROR(INDEX(Engagement_Signals!$D:$D,MATCH(A10,Engagement_Signals!$A:$A,0)),0)</f>
        <v>2</v>
      </c>
      <c r="L10" s="9" t="n">
        <f aca="false">IFERROR(INDEX(NPS_Survey!$B:$B,MATCH(A10,NPS_Survey!$A:$A,0)),"")</f>
        <v>3</v>
      </c>
      <c r="M10" s="9" t="n">
        <f aca="false">E10-DATE(2026,8,29)</f>
        <v>58</v>
      </c>
      <c r="N10" s="9" t="n">
        <f aca="false">IF(H10&lt;=-0.3,2,0)+IF(J10&gt;0,IF(I10&lt;=J10*0.5,2,0),0)+IF(L10&lt;&gt;"",IF(L10&lt;=6,2,0),0)+IF(K10&lt;=2,1,0)+IF(AND(M10&gt;=0,M10&lt;=60),1,0)</f>
        <v>8</v>
      </c>
      <c r="O10" s="9" t="str">
        <f aca="false">IF(AND(N10&gt;=4,M10&lt;=60,M10&gt;=0),"AT RISK","")</f>
        <v>AT RISK</v>
      </c>
    </row>
    <row r="11" customFormat="false" ht="15" hidden="false" customHeight="false" outlineLevel="0" collapsed="false">
      <c r="A11" s="5" t="s">
        <v>53</v>
      </c>
      <c r="B11" s="5" t="s">
        <v>54</v>
      </c>
      <c r="C11" s="5" t="s">
        <v>36</v>
      </c>
      <c r="D11" s="5" t="s">
        <v>39</v>
      </c>
      <c r="E11" s="6" t="n">
        <v>46383</v>
      </c>
      <c r="F11" s="5" t="n">
        <v>2</v>
      </c>
      <c r="G11" s="7" t="n">
        <v>610000</v>
      </c>
      <c r="H11" s="8" t="n">
        <f aca="false">IFERROR(INDEX(Transaction_Behavior!$D:$D,MATCH(A11,Transaction_Behavior!$A:$A,0)),"")</f>
        <v>-0.0344827586206897</v>
      </c>
      <c r="I11" s="9" t="n">
        <f aca="false">IFERROR(INDEX(Engagement_Signals!$B:$B,MATCH(A11,Engagement_Signals!$A:$A,0)),0)</f>
        <v>3</v>
      </c>
      <c r="J11" s="9" t="n">
        <f aca="false">IFERROR(INDEX(Engagement_Signals!$C:$C,MATCH(A11,Engagement_Signals!$A:$A,0)),0)</f>
        <v>3</v>
      </c>
      <c r="K11" s="9" t="n">
        <f aca="false">IFERROR(INDEX(Engagement_Signals!$D:$D,MATCH(A11,Engagement_Signals!$A:$A,0)),0)</f>
        <v>9</v>
      </c>
      <c r="L11" s="9" t="n">
        <f aca="false">IFERROR(INDEX(NPS_Survey!$B:$B,MATCH(A11,NPS_Survey!$A:$A,0)),"")</f>
        <v>8</v>
      </c>
      <c r="M11" s="9" t="n">
        <f aca="false">E11-DATE(2026,8,29)</f>
        <v>120</v>
      </c>
      <c r="N11" s="9" t="n">
        <f aca="false">IF(H11&lt;=-0.3,2,0)+IF(J11&gt;0,IF(I11&lt;=J11*0.5,2,0),0)+IF(L11&lt;&gt;"",IF(L11&lt;=6,2,0),0)+IF(K11&lt;=2,1,0)+IF(AND(M11&gt;=0,M11&lt;=60),1,0)</f>
        <v>0</v>
      </c>
      <c r="O11" s="9" t="str">
        <f aca="false">IF(AND(N11&gt;=4,M11&lt;=60,M11&gt;=0),"AT RISK","")</f>
        <v/>
      </c>
    </row>
    <row r="12" customFormat="false" ht="15" hidden="false" customHeight="false" outlineLevel="0" collapsed="false">
      <c r="A12" s="5" t="s">
        <v>55</v>
      </c>
      <c r="B12" s="5" t="s">
        <v>56</v>
      </c>
      <c r="C12" s="5" t="s">
        <v>32</v>
      </c>
      <c r="D12" s="5" t="s">
        <v>33</v>
      </c>
      <c r="E12" s="6" t="n">
        <v>46275</v>
      </c>
      <c r="F12" s="5" t="n">
        <v>10</v>
      </c>
      <c r="G12" s="7" t="n">
        <v>4200000</v>
      </c>
      <c r="H12" s="8" t="n">
        <f aca="false">IFERROR(INDEX(Transaction_Behavior!$D:$D,MATCH(A12,Transaction_Behavior!$A:$A,0)),"")</f>
        <v>-0.722222222222222</v>
      </c>
      <c r="I12" s="9" t="n">
        <f aca="false">IFERROR(INDEX(Engagement_Signals!$B:$B,MATCH(A12,Engagement_Signals!$A:$A,0)),0)</f>
        <v>0</v>
      </c>
      <c r="J12" s="9" t="n">
        <f aca="false">IFERROR(INDEX(Engagement_Signals!$C:$C,MATCH(A12,Engagement_Signals!$A:$A,0)),0)</f>
        <v>6</v>
      </c>
      <c r="K12" s="9" t="n">
        <f aca="false">IFERROR(INDEX(Engagement_Signals!$D:$D,MATCH(A12,Engagement_Signals!$A:$A,0)),0)</f>
        <v>1</v>
      </c>
      <c r="L12" s="9" t="n">
        <f aca="false">IFERROR(INDEX(NPS_Survey!$B:$B,MATCH(A12,NPS_Survey!$A:$A,0)),"")</f>
        <v>4</v>
      </c>
      <c r="M12" s="9" t="n">
        <f aca="false">E12-DATE(2026,8,29)</f>
        <v>12</v>
      </c>
      <c r="N12" s="9" t="n">
        <f aca="false">IF(H12&lt;=-0.3,2,0)+IF(J12&gt;0,IF(I12&lt;=J12*0.5,2,0),0)+IF(L12&lt;&gt;"",IF(L12&lt;=6,2,0),0)+IF(K12&lt;=2,1,0)+IF(AND(M12&gt;=0,M12&lt;=60),1,0)</f>
        <v>8</v>
      </c>
      <c r="O12" s="9" t="str">
        <f aca="false">IF(AND(N12&gt;=4,M12&lt;=60,M12&gt;=0),"AT RISK","")</f>
        <v>AT RISK</v>
      </c>
    </row>
    <row r="13" customFormat="false" ht="15" hidden="false" customHeight="false" outlineLevel="0" collapsed="false">
      <c r="A13" s="5" t="s">
        <v>57</v>
      </c>
      <c r="B13" s="5" t="s">
        <v>58</v>
      </c>
      <c r="C13" s="5" t="s">
        <v>42</v>
      </c>
      <c r="D13" s="5" t="s">
        <v>39</v>
      </c>
      <c r="E13" s="6" t="n">
        <v>46463</v>
      </c>
      <c r="F13" s="5" t="n">
        <v>1</v>
      </c>
      <c r="G13" s="7" t="n">
        <v>250000</v>
      </c>
      <c r="H13" s="8" t="n">
        <f aca="false">IFERROR(INDEX(Transaction_Behavior!$D:$D,MATCH(A13,Transaction_Behavior!$A:$A,0)),"")</f>
        <v>-0.0140845070422535</v>
      </c>
      <c r="I13" s="9" t="n">
        <f aca="false">IFERROR(INDEX(Engagement_Signals!$B:$B,MATCH(A13,Engagement_Signals!$A:$A,0)),0)</f>
        <v>0</v>
      </c>
      <c r="J13" s="9" t="n">
        <f aca="false">IFERROR(INDEX(Engagement_Signals!$C:$C,MATCH(A13,Engagement_Signals!$A:$A,0)),0)</f>
        <v>0</v>
      </c>
      <c r="K13" s="9" t="n">
        <f aca="false">IFERROR(INDEX(Engagement_Signals!$D:$D,MATCH(A13,Engagement_Signals!$A:$A,0)),0)</f>
        <v>5</v>
      </c>
      <c r="L13" s="9" t="n">
        <f aca="false">IFERROR(INDEX(NPS_Survey!$B:$B,MATCH(A13,NPS_Survey!$A:$A,0)),"")</f>
        <v>9</v>
      </c>
      <c r="M13" s="9" t="n">
        <f aca="false">E13-DATE(2026,8,29)</f>
        <v>200</v>
      </c>
      <c r="N13" s="9" t="n">
        <f aca="false">IF(H13&lt;=-0.3,2,0)+IF(J13&gt;0,IF(I13&lt;=J13*0.5,2,0),0)+IF(L13&lt;&gt;"",IF(L13&lt;=6,2,0),0)+IF(K13&lt;=2,1,0)+IF(AND(M13&gt;=0,M13&lt;=60),1,0)</f>
        <v>0</v>
      </c>
      <c r="O13" s="9" t="str">
        <f aca="false">IF(AND(N13&gt;=4,M13&lt;=60,M13&gt;=0),"AT RISK","")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23.85" hidden="false" customHeight="false" outlineLevel="0" collapsed="false">
      <c r="A1" s="4" t="s">
        <v>15</v>
      </c>
      <c r="B1" s="4" t="s">
        <v>59</v>
      </c>
      <c r="C1" s="4" t="s">
        <v>60</v>
      </c>
      <c r="D1" s="4" t="s">
        <v>22</v>
      </c>
      <c r="E1" s="4" t="s">
        <v>61</v>
      </c>
    </row>
    <row r="2" customFormat="false" ht="15" hidden="false" customHeight="false" outlineLevel="0" collapsed="false">
      <c r="A2" s="5" t="s">
        <v>30</v>
      </c>
      <c r="B2" s="7" t="n">
        <v>45000</v>
      </c>
      <c r="C2" s="7" t="n">
        <v>78000</v>
      </c>
      <c r="D2" s="8" t="n">
        <f aca="false">IFERROR((B2-C2)/C2,"")</f>
        <v>-0.423076923076923</v>
      </c>
      <c r="E2" s="5" t="n">
        <v>3</v>
      </c>
    </row>
    <row r="3" customFormat="false" ht="15" hidden="false" customHeight="false" outlineLevel="0" collapsed="false">
      <c r="A3" s="5" t="s">
        <v>34</v>
      </c>
      <c r="B3" s="7" t="n">
        <v>22000</v>
      </c>
      <c r="C3" s="7" t="n">
        <v>24000</v>
      </c>
      <c r="D3" s="8" t="n">
        <f aca="false">IFERROR((B3-C3)/C3,"")</f>
        <v>-0.0833333333333333</v>
      </c>
      <c r="E3" s="5" t="n">
        <v>5</v>
      </c>
    </row>
    <row r="4" customFormat="false" ht="15" hidden="false" customHeight="false" outlineLevel="0" collapsed="false">
      <c r="A4" s="5" t="s">
        <v>37</v>
      </c>
      <c r="B4" s="7" t="n">
        <v>30000</v>
      </c>
      <c r="C4" s="7" t="n">
        <v>95000</v>
      </c>
      <c r="D4" s="8" t="n">
        <f aca="false">IFERROR((B4-C4)/C4,"")</f>
        <v>-0.68421052631579</v>
      </c>
      <c r="E4" s="5" t="n">
        <v>2</v>
      </c>
    </row>
    <row r="5" customFormat="false" ht="15" hidden="false" customHeight="false" outlineLevel="0" collapsed="false">
      <c r="A5" s="5" t="s">
        <v>40</v>
      </c>
      <c r="B5" s="7" t="n">
        <v>8000</v>
      </c>
      <c r="C5" s="7" t="n">
        <v>8500</v>
      </c>
      <c r="D5" s="8" t="n">
        <f aca="false">IFERROR((B5-C5)/C5,"")</f>
        <v>-0.0588235294117647</v>
      </c>
      <c r="E5" s="5" t="n">
        <v>6</v>
      </c>
    </row>
    <row r="6" customFormat="false" ht="15" hidden="false" customHeight="false" outlineLevel="0" collapsed="false">
      <c r="A6" s="5" t="s">
        <v>43</v>
      </c>
      <c r="B6" s="7" t="n">
        <v>40000</v>
      </c>
      <c r="C6" s="7" t="n">
        <v>41000</v>
      </c>
      <c r="D6" s="8" t="n">
        <f aca="false">IFERROR((B6-C6)/C6,"")</f>
        <v>-0.024390243902439</v>
      </c>
      <c r="E6" s="5" t="n">
        <v>7</v>
      </c>
    </row>
    <row r="7" customFormat="false" ht="15" hidden="false" customHeight="false" outlineLevel="0" collapsed="false">
      <c r="A7" s="5" t="s">
        <v>45</v>
      </c>
      <c r="B7" s="7" t="n">
        <v>60000</v>
      </c>
      <c r="C7" s="7" t="n">
        <v>61000</v>
      </c>
      <c r="D7" s="8" t="n">
        <f aca="false">IFERROR((B7-C7)/C7,"")</f>
        <v>-0.0163934426229508</v>
      </c>
      <c r="E7" s="5" t="n">
        <v>8</v>
      </c>
    </row>
    <row r="8" customFormat="false" ht="15" hidden="false" customHeight="false" outlineLevel="0" collapsed="false">
      <c r="A8" s="5" t="s">
        <v>47</v>
      </c>
      <c r="B8" s="7" t="n">
        <v>9000</v>
      </c>
      <c r="C8" s="7" t="n">
        <v>9200</v>
      </c>
      <c r="D8" s="8" t="n">
        <f aca="false">IFERROR((B8-C8)/C8,"")</f>
        <v>-0.0217391304347826</v>
      </c>
      <c r="E8" s="5" t="n">
        <v>5</v>
      </c>
    </row>
    <row r="9" customFormat="false" ht="15" hidden="false" customHeight="false" outlineLevel="0" collapsed="false">
      <c r="A9" s="5" t="s">
        <v>49</v>
      </c>
      <c r="B9" s="7" t="n">
        <v>15000</v>
      </c>
      <c r="C9" s="7" t="n">
        <v>38000</v>
      </c>
      <c r="D9" s="8" t="n">
        <f aca="false">IFERROR((B9-C9)/C9,"")</f>
        <v>-0.605263157894737</v>
      </c>
      <c r="E9" s="5" t="n">
        <v>2</v>
      </c>
    </row>
    <row r="10" customFormat="false" ht="15" hidden="false" customHeight="false" outlineLevel="0" collapsed="false">
      <c r="A10" s="5" t="s">
        <v>51</v>
      </c>
      <c r="B10" s="7" t="n">
        <v>52000</v>
      </c>
      <c r="C10" s="7" t="n">
        <v>130000</v>
      </c>
      <c r="D10" s="8" t="n">
        <f aca="false">IFERROR((B10-C10)/C10,"")</f>
        <v>-0.6</v>
      </c>
      <c r="E10" s="5" t="n">
        <v>1</v>
      </c>
    </row>
    <row r="11" customFormat="false" ht="15" hidden="false" customHeight="false" outlineLevel="0" collapsed="false">
      <c r="A11" s="5" t="s">
        <v>53</v>
      </c>
      <c r="B11" s="7" t="n">
        <v>28000</v>
      </c>
      <c r="C11" s="7" t="n">
        <v>29000</v>
      </c>
      <c r="D11" s="8" t="n">
        <f aca="false">IFERROR((B11-C11)/C11,"")</f>
        <v>-0.0344827586206897</v>
      </c>
      <c r="E11" s="5" t="n">
        <v>6</v>
      </c>
    </row>
    <row r="12" customFormat="false" ht="15" hidden="false" customHeight="false" outlineLevel="0" collapsed="false">
      <c r="A12" s="5" t="s">
        <v>55</v>
      </c>
      <c r="B12" s="7" t="n">
        <v>25000</v>
      </c>
      <c r="C12" s="7" t="n">
        <v>90000</v>
      </c>
      <c r="D12" s="8" t="n">
        <f aca="false">IFERROR((B12-C12)/C12,"")</f>
        <v>-0.722222222222222</v>
      </c>
      <c r="E12" s="5" t="n">
        <v>1</v>
      </c>
    </row>
    <row r="13" customFormat="false" ht="15" hidden="false" customHeight="false" outlineLevel="0" collapsed="false">
      <c r="A13" s="5" t="s">
        <v>57</v>
      </c>
      <c r="B13" s="7" t="n">
        <v>7000</v>
      </c>
      <c r="C13" s="7" t="n">
        <v>7100</v>
      </c>
      <c r="D13" s="8" t="n">
        <f aca="false">IFERROR((B13-C13)/C13,"")</f>
        <v>-0.0140845070422535</v>
      </c>
      <c r="E13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23.85" hidden="false" customHeight="false" outlineLevel="0" collapsed="false">
      <c r="A1" s="4" t="s">
        <v>15</v>
      </c>
      <c r="B1" s="4" t="s">
        <v>62</v>
      </c>
      <c r="C1" s="4" t="s">
        <v>63</v>
      </c>
      <c r="D1" s="4" t="s">
        <v>25</v>
      </c>
      <c r="E1" s="4" t="s">
        <v>64</v>
      </c>
    </row>
    <row r="2" customFormat="false" ht="15" hidden="false" customHeight="false" outlineLevel="0" collapsed="false">
      <c r="A2" s="5" t="s">
        <v>30</v>
      </c>
      <c r="B2" s="5" t="n">
        <v>0</v>
      </c>
      <c r="C2" s="5" t="n">
        <v>5</v>
      </c>
      <c r="D2" s="5" t="n">
        <v>1</v>
      </c>
      <c r="E2" s="5" t="n">
        <v>2</v>
      </c>
    </row>
    <row r="3" customFormat="false" ht="15" hidden="false" customHeight="false" outlineLevel="0" collapsed="false">
      <c r="A3" s="5" t="s">
        <v>34</v>
      </c>
      <c r="B3" s="5" t="n">
        <v>3</v>
      </c>
      <c r="C3" s="5" t="n">
        <v>4</v>
      </c>
      <c r="D3" s="5" t="n">
        <v>8</v>
      </c>
      <c r="E3" s="5" t="n">
        <v>0</v>
      </c>
    </row>
    <row r="4" customFormat="false" ht="15" hidden="false" customHeight="false" outlineLevel="0" collapsed="false">
      <c r="A4" s="5" t="s">
        <v>37</v>
      </c>
      <c r="B4" s="5" t="n">
        <v>1</v>
      </c>
      <c r="C4" s="5" t="n">
        <v>6</v>
      </c>
      <c r="D4" s="5" t="n">
        <v>2</v>
      </c>
      <c r="E4" s="5" t="n">
        <v>3</v>
      </c>
    </row>
    <row r="5" customFormat="false" ht="15" hidden="false" customHeight="false" outlineLevel="0" collapsed="false">
      <c r="A5" s="5" t="s">
        <v>40</v>
      </c>
      <c r="B5" s="5" t="n">
        <v>0</v>
      </c>
      <c r="C5" s="5" t="n">
        <v>0</v>
      </c>
      <c r="D5" s="5" t="n">
        <v>4</v>
      </c>
      <c r="E5" s="5" t="n">
        <v>0</v>
      </c>
    </row>
    <row r="6" customFormat="false" ht="15" hidden="false" customHeight="false" outlineLevel="0" collapsed="false">
      <c r="A6" s="5" t="s">
        <v>43</v>
      </c>
      <c r="B6" s="5" t="n">
        <v>4</v>
      </c>
      <c r="C6" s="5" t="n">
        <v>5</v>
      </c>
      <c r="D6" s="5" t="n">
        <v>10</v>
      </c>
      <c r="E6" s="5" t="n">
        <v>0</v>
      </c>
    </row>
    <row r="7" customFormat="false" ht="15" hidden="false" customHeight="false" outlineLevel="0" collapsed="false">
      <c r="A7" s="5" t="s">
        <v>45</v>
      </c>
      <c r="B7" s="5" t="n">
        <v>2</v>
      </c>
      <c r="C7" s="5" t="n">
        <v>5</v>
      </c>
      <c r="D7" s="5" t="n">
        <v>3</v>
      </c>
      <c r="E7" s="5" t="n">
        <v>1</v>
      </c>
    </row>
    <row r="8" customFormat="false" ht="15" hidden="false" customHeight="false" outlineLevel="0" collapsed="false">
      <c r="A8" s="5" t="s">
        <v>47</v>
      </c>
      <c r="B8" s="5" t="n">
        <v>0</v>
      </c>
      <c r="C8" s="5" t="n">
        <v>1</v>
      </c>
      <c r="D8" s="5" t="n">
        <v>6</v>
      </c>
      <c r="E8" s="5" t="n">
        <v>0</v>
      </c>
    </row>
    <row r="9" customFormat="false" ht="15" hidden="false" customHeight="false" outlineLevel="0" collapsed="false">
      <c r="A9" s="5" t="s">
        <v>49</v>
      </c>
      <c r="B9" s="5" t="n">
        <v>0</v>
      </c>
      <c r="C9" s="5" t="n">
        <v>4</v>
      </c>
      <c r="D9" s="5" t="n">
        <v>1</v>
      </c>
      <c r="E9" s="5" t="n">
        <v>2</v>
      </c>
    </row>
    <row r="10" customFormat="false" ht="15" hidden="false" customHeight="false" outlineLevel="0" collapsed="false">
      <c r="A10" s="5" t="s">
        <v>51</v>
      </c>
      <c r="B10" s="5" t="n">
        <v>1</v>
      </c>
      <c r="C10" s="5" t="n">
        <v>8</v>
      </c>
      <c r="D10" s="5" t="n">
        <v>2</v>
      </c>
      <c r="E10" s="5" t="n">
        <v>4</v>
      </c>
    </row>
    <row r="11" customFormat="false" ht="15" hidden="false" customHeight="false" outlineLevel="0" collapsed="false">
      <c r="A11" s="5" t="s">
        <v>53</v>
      </c>
      <c r="B11" s="5" t="n">
        <v>3</v>
      </c>
      <c r="C11" s="5" t="n">
        <v>3</v>
      </c>
      <c r="D11" s="5" t="n">
        <v>9</v>
      </c>
      <c r="E11" s="5" t="n">
        <v>0</v>
      </c>
    </row>
    <row r="12" customFormat="false" ht="15" hidden="false" customHeight="false" outlineLevel="0" collapsed="false">
      <c r="A12" s="5" t="s">
        <v>55</v>
      </c>
      <c r="B12" s="5" t="n">
        <v>0</v>
      </c>
      <c r="C12" s="5" t="n">
        <v>6</v>
      </c>
      <c r="D12" s="5" t="n">
        <v>1</v>
      </c>
      <c r="E12" s="5" t="n">
        <v>3</v>
      </c>
    </row>
    <row r="13" customFormat="false" ht="15" hidden="false" customHeight="false" outlineLevel="0" collapsed="false">
      <c r="A13" s="5" t="s">
        <v>57</v>
      </c>
      <c r="B13" s="5" t="n">
        <v>0</v>
      </c>
      <c r="C13" s="5" t="n">
        <v>0</v>
      </c>
      <c r="D13" s="5" t="n">
        <v>5</v>
      </c>
      <c r="E13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23.85" hidden="false" customHeight="false" outlineLevel="0" collapsed="false">
      <c r="A1" s="4" t="s">
        <v>15</v>
      </c>
      <c r="B1" s="4" t="s">
        <v>65</v>
      </c>
      <c r="C1" s="4" t="s">
        <v>66</v>
      </c>
      <c r="D1" s="4" t="s">
        <v>67</v>
      </c>
    </row>
    <row r="2" customFormat="false" ht="15" hidden="false" customHeight="false" outlineLevel="0" collapsed="false">
      <c r="A2" s="5" t="s">
        <v>30</v>
      </c>
      <c r="B2" s="5" t="n">
        <v>4</v>
      </c>
      <c r="C2" s="6" t="n">
        <v>46235</v>
      </c>
      <c r="D2" s="5" t="s">
        <v>68</v>
      </c>
    </row>
    <row r="3" customFormat="false" ht="15" hidden="false" customHeight="false" outlineLevel="0" collapsed="false">
      <c r="A3" s="5" t="s">
        <v>34</v>
      </c>
      <c r="B3" s="5" t="n">
        <v>8</v>
      </c>
      <c r="C3" s="6" t="n">
        <v>46253</v>
      </c>
      <c r="D3" s="5" t="s">
        <v>69</v>
      </c>
    </row>
    <row r="4" customFormat="false" ht="15" hidden="false" customHeight="false" outlineLevel="0" collapsed="false">
      <c r="A4" s="5" t="s">
        <v>37</v>
      </c>
      <c r="B4" s="5" t="n">
        <v>5</v>
      </c>
      <c r="C4" s="6" t="n">
        <v>46248</v>
      </c>
      <c r="D4" s="5" t="s">
        <v>70</v>
      </c>
    </row>
    <row r="5" customFormat="false" ht="15" hidden="false" customHeight="false" outlineLevel="0" collapsed="false">
      <c r="A5" s="5" t="s">
        <v>40</v>
      </c>
      <c r="B5" s="5" t="n">
        <v>9</v>
      </c>
      <c r="C5" s="6" t="n">
        <v>46258</v>
      </c>
      <c r="D5" s="5" t="s">
        <v>71</v>
      </c>
    </row>
    <row r="6" customFormat="false" ht="15" hidden="false" customHeight="false" outlineLevel="0" collapsed="false">
      <c r="A6" s="5" t="s">
        <v>43</v>
      </c>
      <c r="B6" s="5" t="n">
        <v>8</v>
      </c>
      <c r="C6" s="6" t="n">
        <v>46243</v>
      </c>
      <c r="D6" s="5" t="s">
        <v>72</v>
      </c>
    </row>
    <row r="7" customFormat="false" ht="15" hidden="false" customHeight="false" outlineLevel="0" collapsed="false">
      <c r="A7" s="5" t="s">
        <v>45</v>
      </c>
      <c r="B7" s="5" t="n">
        <v>6</v>
      </c>
      <c r="C7" s="6" t="n">
        <v>46230</v>
      </c>
      <c r="D7" s="5" t="s">
        <v>73</v>
      </c>
    </row>
    <row r="8" customFormat="false" ht="15" hidden="false" customHeight="false" outlineLevel="0" collapsed="false">
      <c r="A8" s="5" t="s">
        <v>47</v>
      </c>
      <c r="B8" s="5" t="n">
        <v>9</v>
      </c>
      <c r="C8" s="6" t="n">
        <v>46261</v>
      </c>
      <c r="D8" s="5" t="s">
        <v>74</v>
      </c>
    </row>
    <row r="9" customFormat="false" ht="15" hidden="false" customHeight="false" outlineLevel="0" collapsed="false">
      <c r="A9" s="5" t="s">
        <v>49</v>
      </c>
      <c r="B9" s="5" t="n">
        <v>5</v>
      </c>
      <c r="C9" s="6" t="n">
        <v>46223</v>
      </c>
      <c r="D9" s="5" t="s">
        <v>75</v>
      </c>
    </row>
    <row r="10" customFormat="false" ht="15" hidden="false" customHeight="false" outlineLevel="0" collapsed="false">
      <c r="A10" s="5" t="s">
        <v>51</v>
      </c>
      <c r="B10" s="5" t="n">
        <v>3</v>
      </c>
      <c r="C10" s="6" t="n">
        <v>46245</v>
      </c>
      <c r="D10" s="5" t="s">
        <v>76</v>
      </c>
    </row>
    <row r="11" customFormat="false" ht="15" hidden="false" customHeight="false" outlineLevel="0" collapsed="false">
      <c r="A11" s="5" t="s">
        <v>53</v>
      </c>
      <c r="B11" s="5" t="n">
        <v>8</v>
      </c>
      <c r="C11" s="6" t="n">
        <v>46251</v>
      </c>
      <c r="D11" s="5" t="s">
        <v>77</v>
      </c>
    </row>
    <row r="12" customFormat="false" ht="15" hidden="false" customHeight="false" outlineLevel="0" collapsed="false">
      <c r="A12" s="5" t="s">
        <v>55</v>
      </c>
      <c r="B12" s="5" t="n">
        <v>4</v>
      </c>
      <c r="C12" s="6" t="n">
        <v>46255</v>
      </c>
      <c r="D12" s="5" t="s">
        <v>78</v>
      </c>
    </row>
    <row r="13" customFormat="false" ht="15" hidden="false" customHeight="false" outlineLevel="0" collapsed="false">
      <c r="A13" s="5" t="s">
        <v>57</v>
      </c>
      <c r="B13" s="5" t="n">
        <v>9</v>
      </c>
      <c r="C13" s="6" t="n">
        <v>46260</v>
      </c>
      <c r="D13" s="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23.85" hidden="false" customHeight="false" outlineLevel="0" collapsed="false">
      <c r="A1" s="4" t="s">
        <v>17</v>
      </c>
      <c r="B1" s="4" t="s">
        <v>80</v>
      </c>
      <c r="C1" s="4" t="s">
        <v>81</v>
      </c>
      <c r="D1" s="4" t="s">
        <v>82</v>
      </c>
      <c r="E1" s="4" t="s">
        <v>83</v>
      </c>
    </row>
    <row r="2" customFormat="false" ht="15" hidden="false" customHeight="false" outlineLevel="0" collapsed="false">
      <c r="A2" s="5" t="s">
        <v>32</v>
      </c>
      <c r="B2" s="10" t="n">
        <v>0.5</v>
      </c>
      <c r="C2" s="5" t="s">
        <v>84</v>
      </c>
      <c r="D2" s="5" t="s">
        <v>85</v>
      </c>
      <c r="E2" s="7" t="n">
        <v>100000</v>
      </c>
    </row>
    <row r="3" customFormat="false" ht="15" hidden="false" customHeight="false" outlineLevel="0" collapsed="false">
      <c r="A3" s="5" t="s">
        <v>36</v>
      </c>
      <c r="B3" s="10" t="n">
        <v>0.25</v>
      </c>
      <c r="C3" s="5" t="s">
        <v>86</v>
      </c>
      <c r="D3" s="5" t="s">
        <v>85</v>
      </c>
      <c r="E3" s="7" t="n">
        <v>50000</v>
      </c>
    </row>
    <row r="4" customFormat="false" ht="15" hidden="false" customHeight="false" outlineLevel="0" collapsed="false">
      <c r="A4" s="5" t="s">
        <v>42</v>
      </c>
      <c r="B4" s="10" t="n">
        <v>0</v>
      </c>
      <c r="C4" s="5" t="s">
        <v>87</v>
      </c>
      <c r="D4" s="5" t="s">
        <v>85</v>
      </c>
      <c r="E4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4" t="s">
        <v>18</v>
      </c>
      <c r="B1" s="4" t="s">
        <v>88</v>
      </c>
      <c r="C1" s="4" t="s">
        <v>89</v>
      </c>
    </row>
    <row r="2" customFormat="false" ht="15" hidden="false" customHeight="false" outlineLevel="0" collapsed="false">
      <c r="A2" s="5" t="s">
        <v>33</v>
      </c>
      <c r="B2" s="5" t="s">
        <v>90</v>
      </c>
      <c r="C2" s="5" t="s">
        <v>91</v>
      </c>
    </row>
    <row r="3" customFormat="false" ht="15" hidden="false" customHeight="false" outlineLevel="0" collapsed="false">
      <c r="A3" s="5" t="s">
        <v>39</v>
      </c>
      <c r="B3" s="5" t="s">
        <v>92</v>
      </c>
      <c r="C3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4" t="s">
        <v>15</v>
      </c>
      <c r="B1" s="4" t="s">
        <v>94</v>
      </c>
      <c r="C1" s="4" t="s">
        <v>28</v>
      </c>
      <c r="D1" s="4" t="s">
        <v>95</v>
      </c>
      <c r="E1" s="4" t="s">
        <v>96</v>
      </c>
      <c r="F1" s="4" t="s">
        <v>97</v>
      </c>
      <c r="G1" s="4" t="s">
        <v>98</v>
      </c>
    </row>
    <row r="2" customFormat="false" ht="15" hidden="false" customHeight="false" outlineLevel="0" collapsed="false">
      <c r="A2" s="11" t="s">
        <v>99</v>
      </c>
      <c r="B2" s="11" t="s">
        <v>100</v>
      </c>
      <c r="C2" s="11" t="n">
        <v>5</v>
      </c>
      <c r="D2" s="11" t="s">
        <v>101</v>
      </c>
      <c r="E2" s="11" t="s">
        <v>102</v>
      </c>
      <c r="F2" s="11" t="s">
        <v>103</v>
      </c>
      <c r="G2" s="1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2026-08-29T17:24:24Z</dcterms:created>
  <dc:creator>openpyxl</dc:creator>
  <dc:description/>
  <dc:language>en-US</dc:language>
  <cp:lastModifiedBy/>
  <dcterms:modified xsi:type="dcterms:W3CDTF">2026-08-29T17:24:24Z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